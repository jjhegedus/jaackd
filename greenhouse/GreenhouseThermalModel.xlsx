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Greenhouse Length</t>
        </is>
      </c>
      <c r="B2" t="n">
        <v>40</v>
      </c>
      <c r="C2" t="inlineStr">
        <is>
          <t>ft</t>
        </is>
      </c>
      <c r="D2" t="inlineStr">
        <is>
          <t>East–west dimension</t>
        </is>
      </c>
    </row>
    <row r="3">
      <c r="A3" t="inlineStr">
        <is>
          <t>Greenhouse Width</t>
        </is>
      </c>
      <c r="B3" t="n">
        <v>24</v>
      </c>
      <c r="C3" t="inlineStr">
        <is>
          <t>ft</t>
        </is>
      </c>
      <c r="D3" t="inlineStr">
        <is>
          <t>North–south dimension</t>
        </is>
      </c>
    </row>
    <row r="4">
      <c r="A4" t="inlineStr">
        <is>
          <t>Greenhouse Height</t>
        </is>
      </c>
      <c r="B4" t="n">
        <v>19.33</v>
      </c>
      <c r="C4" t="inlineStr">
        <is>
          <t>ft</t>
        </is>
      </c>
      <c r="D4" t="inlineStr">
        <is>
          <t>Height up to just below the pole building’s eve (19′4″ ≈ 19.33 ft)</t>
        </is>
      </c>
    </row>
    <row r="5">
      <c r="A5" t="inlineStr">
        <is>
          <t>U-value (Polycarbonate)</t>
        </is>
      </c>
      <c r="B5" t="n">
        <v>2.5</v>
      </c>
      <c r="C5" t="inlineStr">
        <is>
          <t>W/m²·K</t>
        </is>
      </c>
      <c r="D5" t="inlineStr">
        <is>
          <t>Thermal transmittance of 8 mm twin wall polycarbonate</t>
        </is>
      </c>
    </row>
    <row r="6">
      <c r="A6" t="inlineStr">
        <is>
          <t>Transmittance (τ)</t>
        </is>
      </c>
      <c r="B6" t="n">
        <v>0.75</v>
      </c>
      <c r="C6" t="inlineStr"/>
      <c r="D6" t="inlineStr">
        <is>
          <t>Solar transmittance for the glazing</t>
        </is>
      </c>
    </row>
    <row r="7">
      <c r="A7" t="inlineStr">
        <is>
          <t>Solar Irradiance (I)</t>
        </is>
      </c>
      <c r="B7" t="n">
        <v>800</v>
      </c>
      <c r="C7" t="inlineStr">
        <is>
          <t>W/m²</t>
        </is>
      </c>
      <c r="D7" t="inlineStr">
        <is>
          <t>Example value for full sun (adjust as needed)</t>
        </is>
      </c>
    </row>
    <row r="8">
      <c r="A8" t="inlineStr">
        <is>
          <t>Solar Angle (θ)</t>
        </is>
      </c>
      <c r="B8" t="n">
        <v>30</v>
      </c>
      <c r="C8" t="inlineStr">
        <is>
          <t>degrees</t>
        </is>
      </c>
      <c r="D8" t="inlineStr">
        <is>
          <t>Angle of incidence for the south wall</t>
        </is>
      </c>
    </row>
    <row r="9">
      <c r="A9" t="inlineStr">
        <is>
          <t>North Wall Temperature (T_north)</t>
        </is>
      </c>
      <c r="B9" t="n">
        <v>65</v>
      </c>
      <c r="C9" t="inlineStr">
        <is>
          <t>°F</t>
        </is>
      </c>
      <c r="D9" t="inlineStr">
        <is>
          <t>Fixed temperature provided by the pole building (daytime)</t>
        </is>
      </c>
    </row>
    <row r="10">
      <c r="A10" t="inlineStr">
        <is>
          <t>Ambient Temperature (T_ambient)</t>
        </is>
      </c>
      <c r="B10" t="n">
        <v>50</v>
      </c>
      <c r="C10" t="inlineStr">
        <is>
          <t>°F</t>
        </is>
      </c>
      <c r="D10" t="inlineStr">
        <is>
          <t>Outside air temperature (example value)</t>
        </is>
      </c>
    </row>
    <row r="11">
      <c r="A11" t="inlineStr">
        <is>
          <t>Initial Internal Temperature (T_inside)</t>
        </is>
      </c>
      <c r="B11" t="n">
        <v>60</v>
      </c>
      <c r="C11" t="inlineStr">
        <is>
          <t>°F</t>
        </is>
      </c>
      <c r="D11" t="inlineStr">
        <is>
          <t>Starting estimate for internal temperature</t>
        </is>
      </c>
    </row>
    <row r="12">
      <c r="A12" t="inlineStr">
        <is>
          <t>External Convection Coefficient (h_ext)</t>
        </is>
      </c>
      <c r="B12" t="n">
        <v>10</v>
      </c>
      <c r="C12" t="inlineStr">
        <is>
          <t>W/m²·K</t>
        </is>
      </c>
      <c r="D12" t="inlineStr">
        <is>
          <t>Estimate for wind effects in Indiana</t>
        </is>
      </c>
    </row>
    <row r="13">
      <c r="A13" t="inlineStr">
        <is>
          <t>Thermal Capacitance (C)</t>
        </is>
      </c>
      <c r="B13" t="n">
        <v>100000</v>
      </c>
      <c r="C13" t="inlineStr">
        <is>
          <t>J/K</t>
        </is>
      </c>
      <c r="D13" t="inlineStr">
        <is>
          <t>Effective thermal mass of the greenhouse (estimate)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Calculation</t>
        </is>
      </c>
      <c r="B1" t="inlineStr">
        <is>
          <t>Formula/Value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Conversion Factor</t>
        </is>
      </c>
      <c r="B2" t="inlineStr">
        <is>
          <t>0.092903</t>
        </is>
      </c>
      <c r="C2" t="inlineStr"/>
      <c r="D2" t="inlineStr">
        <is>
          <t>1 ft² = 0.092903 m²</t>
        </is>
      </c>
    </row>
    <row r="3">
      <c r="A3" t="inlineStr">
        <is>
          <t>South Wall Area (ft²)</t>
        </is>
      </c>
      <c r="B3">
        <f>Inputs!B2*Inputs!B3</f>
        <v/>
      </c>
      <c r="C3" t="inlineStr">
        <is>
          <t>ft²</t>
        </is>
      </c>
      <c r="D3" t="inlineStr">
        <is>
          <t>Length * Height (assuming south wall uses full height)</t>
        </is>
      </c>
    </row>
    <row r="4">
      <c r="A4" t="inlineStr">
        <is>
          <t>South Wall Area (m²)</t>
        </is>
      </c>
      <c r="B4">
        <f>B2*B1</f>
        <v/>
      </c>
      <c r="C4" t="inlineStr">
        <is>
          <t>m²</t>
        </is>
      </c>
      <c r="D4" t="inlineStr">
        <is>
          <t>Convert ft² to m² (use conversion factor)</t>
        </is>
      </c>
    </row>
    <row r="5">
      <c r="A5" t="inlineStr">
        <is>
          <t>Cosine Correction</t>
        </is>
      </c>
      <c r="B5">
        <f>COS(RADIANS(Inputs!B7))</f>
        <v/>
      </c>
      <c r="C5" t="inlineStr"/>
      <c r="D5" t="inlineStr">
        <is>
          <t>Solar angle in radians</t>
        </is>
      </c>
    </row>
    <row r="6">
      <c r="A6" t="inlineStr">
        <is>
          <t>Effective Solar Irradiance (I_eff)</t>
        </is>
      </c>
      <c r="B6">
        <f>Inputs!B6*B4</f>
        <v/>
      </c>
      <c r="C6" t="inlineStr">
        <is>
          <t>W/m²</t>
        </is>
      </c>
      <c r="D6" t="inlineStr">
        <is>
          <t>I * cosine correction</t>
        </is>
      </c>
    </row>
    <row r="7">
      <c r="A7" t="inlineStr">
        <is>
          <t>Solar Gain (Q_solar)</t>
        </is>
      </c>
      <c r="B7">
        <f>Inputs!B5*B5*B2</f>
        <v/>
      </c>
      <c r="C7" t="inlineStr">
        <is>
          <t>W</t>
        </is>
      </c>
      <c r="D7" t="inlineStr">
        <is>
          <t>τ * I_eff * South Wall Area (m²)</t>
        </is>
      </c>
    </row>
    <row r="8">
      <c r="A8" t="inlineStr">
        <is>
          <t>Conduction Loss (South Wall)</t>
        </is>
      </c>
      <c r="B8">
        <f>Inputs!B4*B2*(Inputs!B10 - Inputs!B9)</f>
        <v/>
      </c>
      <c r="C8" t="inlineStr">
        <is>
          <t>W</t>
        </is>
      </c>
      <c r="D8" t="inlineStr">
        <is>
          <t>U-value * Area (m²) * (T_inside - T_ambient)</t>
        </is>
      </c>
    </row>
    <row r="9">
      <c r="A9" t="inlineStr">
        <is>
          <t>North Wall Heat Exchange</t>
        </is>
      </c>
      <c r="B9">
        <f>Inputs!B4*B2*(Inputs!B8 - Inputs!B10)</f>
        <v/>
      </c>
      <c r="C9" t="inlineStr">
        <is>
          <t>W</t>
        </is>
      </c>
      <c r="D9" t="inlineStr">
        <is>
          <t>U-value * North Wall Area (m²) * (T_north - T_inside)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2025-03-01T13:12:54Z</dcterms:created>
  <dcterms:modified xsi:type="dcterms:W3CDTF">2025-03-01T13:12:54Z</dcterms:modified>
</cp:coreProperties>
</file>