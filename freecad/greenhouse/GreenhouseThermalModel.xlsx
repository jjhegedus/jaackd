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puts" sheetId="1" state="visible" r:id="rId3"/>
    <sheet name="Calcula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<sst xmlns="http://schemas.openxmlformats.org/spreadsheetml/2006/main" count="66" uniqueCount="57">
  <si>
    <t xml:space="preserve">Parameter</t>
  </si>
  <si>
    <t xml:space="preserve">Value</t>
  </si>
  <si>
    <t xml:space="preserve">Unit</t>
  </si>
  <si>
    <t xml:space="preserve">Description</t>
  </si>
  <si>
    <t xml:space="preserve">Greenhouse Length</t>
  </si>
  <si>
    <t xml:space="preserve">ft</t>
  </si>
  <si>
    <t xml:space="preserve">East–west dimension</t>
  </si>
  <si>
    <t xml:space="preserve">Greenhouse Width</t>
  </si>
  <si>
    <t xml:space="preserve">North–south dimension</t>
  </si>
  <si>
    <t xml:space="preserve">Greenhouse Height</t>
  </si>
  <si>
    <t xml:space="preserve">Height up to just below the pole building’s eve (19′4″ ≈ 19.33 ft)</t>
  </si>
  <si>
    <t xml:space="preserve">U-value (Polycarbonate)</t>
  </si>
  <si>
    <t xml:space="preserve">W/m²·K</t>
  </si>
  <si>
    <t xml:space="preserve">Thermal transmittance of 8 mm twin wall polycarbonate</t>
  </si>
  <si>
    <t xml:space="preserve">Transmittance (τ)</t>
  </si>
  <si>
    <t xml:space="preserve">Solar transmittance for the glazing</t>
  </si>
  <si>
    <t xml:space="preserve">Solar Irradiance (I)</t>
  </si>
  <si>
    <t xml:space="preserve">W/m²</t>
  </si>
  <si>
    <t xml:space="preserve">Example value for full sun (adjust as needed)</t>
  </si>
  <si>
    <t xml:space="preserve">Solar Angle (θ)</t>
  </si>
  <si>
    <t xml:space="preserve">degrees</t>
  </si>
  <si>
    <t xml:space="preserve">Angle of incidence for the south wall</t>
  </si>
  <si>
    <t xml:space="preserve">North Wall Temperature (T_north)</t>
  </si>
  <si>
    <t xml:space="preserve">°F</t>
  </si>
  <si>
    <t xml:space="preserve">Fixed temperature provided by the pole building (daytime)</t>
  </si>
  <si>
    <t xml:space="preserve">Ambient Temperature (T_ambient)</t>
  </si>
  <si>
    <t xml:space="preserve">Outside air temperature (example value)</t>
  </si>
  <si>
    <t xml:space="preserve">Initial Internal Temperature (T_inside)</t>
  </si>
  <si>
    <t xml:space="preserve">Starting estimate for internal temperature</t>
  </si>
  <si>
    <t xml:space="preserve">External Convection Coefficient (h_ext)</t>
  </si>
  <si>
    <t xml:space="preserve">Estimate for wind effects in Indiana</t>
  </si>
  <si>
    <t xml:space="preserve">Thermal Capacitance (C)</t>
  </si>
  <si>
    <t xml:space="preserve">J/K</t>
  </si>
  <si>
    <t xml:space="preserve">Effective thermal mass of the greenhouse (estimate)</t>
  </si>
  <si>
    <t xml:space="preserve">Calculation</t>
  </si>
  <si>
    <t xml:space="preserve">Formula/Value</t>
  </si>
  <si>
    <t xml:space="preserve">Notes</t>
  </si>
  <si>
    <t xml:space="preserve">Conversion Factor</t>
  </si>
  <si>
    <t xml:space="preserve">0.092903</t>
  </si>
  <si>
    <t xml:space="preserve">1 ft² = 0.092903 m²</t>
  </si>
  <si>
    <t xml:space="preserve">South Wall Area (ft²)</t>
  </si>
  <si>
    <t xml:space="preserve">ft²</t>
  </si>
  <si>
    <t xml:space="preserve">Length * Height (assuming south wall uses full height)</t>
  </si>
  <si>
    <t xml:space="preserve">South Wall Area (m²)</t>
  </si>
  <si>
    <t xml:space="preserve">m²</t>
  </si>
  <si>
    <t xml:space="preserve">Convert ft² to m² (use conversion factor)</t>
  </si>
  <si>
    <t xml:space="preserve">Cosine Correction</t>
  </si>
  <si>
    <t xml:space="preserve">Solar angle in radians</t>
  </si>
  <si>
    <t xml:space="preserve">Effective Solar Irradiance (I_eff)</t>
  </si>
  <si>
    <t xml:space="preserve">I * cosine correction</t>
  </si>
  <si>
    <t xml:space="preserve">Solar Gain (Q_solar)</t>
  </si>
  <si>
    <t xml:space="preserve">W</t>
  </si>
  <si>
    <t xml:space="preserve">τ * I_eff * South Wall Area (m²)</t>
  </si>
  <si>
    <t xml:space="preserve">Conduction Loss (South Wall)</t>
  </si>
  <si>
    <t xml:space="preserve">U-value * Area (m²) * (T_inside - T_ambient)</t>
  </si>
  <si>
    <t xml:space="preserve">North Wall Heat Exchange</t>
  </si>
  <si>
    <t xml:space="preserve">U-value * North Wall Area (m²) * (T_north - T_inside)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</si>
</sst>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25"/>
    <col collapsed="false" customWidth="true" hidden="false" outlineLevel="0" max="4" min="4" style="0" width="61.7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40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n">
        <v>24</v>
      </c>
      <c r="C3" s="0" t="s">
        <v>5</v>
      </c>
      <c r="D3" s="0" t="s">
        <v>8</v>
      </c>
    </row>
    <row r="4" customFormat="false" ht="15" hidden="false" customHeight="false" outlineLevel="0" collapsed="false">
      <c r="A4" s="0" t="s">
        <v>9</v>
      </c>
      <c r="B4" s="0" t="n">
        <v>19.33</v>
      </c>
      <c r="C4" s="0" t="s">
        <v>5</v>
      </c>
      <c r="D4" s="0" t="s">
        <v>10</v>
      </c>
    </row>
    <row r="5" customFormat="false" ht="15" hidden="false" customHeight="false" outlineLevel="0" collapsed="false">
      <c r="A5" s="0" t="s">
        <v>11</v>
      </c>
      <c r="B5" s="0" t="n">
        <v>2.5</v>
      </c>
      <c r="C5" s="0" t="s">
        <v>12</v>
      </c>
      <c r="D5" s="0" t="s">
        <v>13</v>
      </c>
    </row>
    <row r="6" customFormat="false" ht="15" hidden="false" customHeight="false" outlineLevel="0" collapsed="false">
      <c r="A6" s="0" t="s">
        <v>14</v>
      </c>
      <c r="B6" s="0" t="n">
        <v>0.75</v>
      </c>
      <c r="D6" s="0" t="s">
        <v>15</v>
      </c>
    </row>
    <row r="7" customFormat="false" ht="15" hidden="false" customHeight="false" outlineLevel="0" collapsed="false">
      <c r="A7" s="0" t="s">
        <v>16</v>
      </c>
      <c r="B7" s="0" t="n">
        <v>800</v>
      </c>
      <c r="C7" s="0" t="s">
        <v>17</v>
      </c>
      <c r="D7" s="0" t="s">
        <v>18</v>
      </c>
    </row>
    <row r="8" customFormat="false" ht="15" hidden="false" customHeight="false" outlineLevel="0" collapsed="false">
      <c r="A8" s="0" t="s">
        <v>19</v>
      </c>
      <c r="B8" s="0" t="n">
        <v>30</v>
      </c>
      <c r="C8" s="0" t="s">
        <v>20</v>
      </c>
      <c r="D8" s="0" t="s">
        <v>21</v>
      </c>
    </row>
    <row r="9" customFormat="false" ht="15" hidden="false" customHeight="false" outlineLevel="0" collapsed="false">
      <c r="A9" s="0" t="s">
        <v>22</v>
      </c>
      <c r="B9" s="0" t="n">
        <v>65</v>
      </c>
      <c r="C9" s="0" t="s">
        <v>23</v>
      </c>
      <c r="D9" s="0" t="s">
        <v>24</v>
      </c>
    </row>
    <row r="10" customFormat="false" ht="15" hidden="false" customHeight="false" outlineLevel="0" collapsed="false">
      <c r="A10" s="0" t="s">
        <v>25</v>
      </c>
      <c r="B10" s="0" t="n">
        <v>50</v>
      </c>
      <c r="C10" s="0" t="s">
        <v>23</v>
      </c>
      <c r="D10" s="0" t="s">
        <v>26</v>
      </c>
    </row>
    <row r="11" customFormat="false" ht="15" hidden="false" customHeight="false" outlineLevel="0" collapsed="false">
      <c r="A11" s="0" t="s">
        <v>27</v>
      </c>
      <c r="B11" s="0" t="n">
        <v>60</v>
      </c>
      <c r="C11" s="0" t="s">
        <v>23</v>
      </c>
      <c r="D11" s="0" t="s">
        <v>28</v>
      </c>
    </row>
    <row r="12" customFormat="false" ht="15" hidden="false" customHeight="false" outlineLevel="0" collapsed="false">
      <c r="A12" s="0" t="s">
        <v>29</v>
      </c>
      <c r="B12" s="0" t="n">
        <v>10</v>
      </c>
      <c r="C12" s="0" t="s">
        <v>12</v>
      </c>
      <c r="D12" s="0" t="s">
        <v>30</v>
      </c>
    </row>
    <row r="13" customFormat="false" ht="15" hidden="false" customHeight="false" outlineLevel="0" collapsed="false">
      <c r="A13" s="0" t="s">
        <v>31</v>
      </c>
      <c r="B13" s="0" t="n">
        <v>100000</v>
      </c>
      <c r="C13" s="0" t="s">
        <v>32</v>
      </c>
      <c r="D13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1.93"/>
    <col collapsed="false" customWidth="true" hidden="false" outlineLevel="0" max="3" min="3" style="0" width="11.88"/>
    <col collapsed="false" customWidth="true" hidden="false" outlineLevel="0" max="4" min="4" style="0" width="52.7"/>
  </cols>
  <sheetData>
    <row r="1" customFormat="false" ht="15" hidden="false" customHeight="false" outlineLevel="0" collapsed="false">
      <c r="A1" s="0" t="s">
        <v>34</v>
      </c>
      <c r="B1" s="0" t="s">
        <v>35</v>
      </c>
      <c r="C1" s="0" t="s">
        <v>2</v>
      </c>
      <c r="D1" s="0" t="s">
        <v>36</v>
      </c>
    </row>
    <row r="2" customFormat="false" ht="15" hidden="false" customHeight="false" outlineLevel="0" collapsed="false">
      <c r="A2" s="0" t="s">
        <v>37</v>
      </c>
      <c r="B2" s="0" t="s">
        <v>38</v>
      </c>
      <c r="D2" s="0" t="s">
        <v>39</v>
      </c>
    </row>
    <row r="3" customFormat="false" ht="15" hidden="false" customHeight="false" outlineLevel="0" collapsed="false">
      <c r="A3" s="0" t="s">
        <v>40</v>
      </c>
      <c r="B3" s="0" t="n">
        <f aca="false">Inputs!B2*Inputs!B3</f>
        <v>960</v>
      </c>
      <c r="C3" s="0" t="s">
        <v>41</v>
      </c>
      <c r="D3" s="0" t="s">
        <v>42</v>
      </c>
    </row>
    <row r="4" customFormat="false" ht="15" hidden="false" customHeight="false" outlineLevel="0" collapsed="false">
      <c r="A4" s="0" t="s">
        <v>43</v>
      </c>
      <c r="B4" s="0" t="e">
        <f aca="false">B2*B1</f>
        <v>#VALUE!</v>
      </c>
      <c r="C4" s="0" t="s">
        <v>44</v>
      </c>
      <c r="D4" s="0" t="s">
        <v>45</v>
      </c>
    </row>
    <row r="5" customFormat="false" ht="15" hidden="false" customHeight="false" outlineLevel="0" collapsed="false">
      <c r="A5" s="0" t="s">
        <v>46</v>
      </c>
      <c r="B5" s="0" t="n">
        <f aca="false">COS(RADIANS(Inputs!B7))</f>
        <v>0.173648177666931</v>
      </c>
      <c r="D5" s="0" t="s">
        <v>47</v>
      </c>
    </row>
    <row r="6" customFormat="false" ht="15" hidden="false" customHeight="false" outlineLevel="0" collapsed="false">
      <c r="A6" s="0" t="s">
        <v>48</v>
      </c>
      <c r="B6" s="0" t="e">
        <f aca="false">Inputs!B6*B4</f>
        <v>#VALUE!</v>
      </c>
      <c r="C6" s="0" t="s">
        <v>17</v>
      </c>
      <c r="D6" s="0" t="s">
        <v>49</v>
      </c>
    </row>
    <row r="7" customFormat="false" ht="15" hidden="false" customHeight="false" outlineLevel="0" collapsed="false">
      <c r="A7" s="0" t="s">
        <v>50</v>
      </c>
      <c r="B7" s="0" t="n">
        <f aca="false">Inputs!B5*B5*B2</f>
        <v>0.0403310916244772</v>
      </c>
      <c r="C7" s="0" t="s">
        <v>51</v>
      </c>
      <c r="D7" s="0" t="s">
        <v>52</v>
      </c>
    </row>
    <row r="8" customFormat="false" ht="15" hidden="false" customHeight="false" outlineLevel="0" collapsed="false">
      <c r="A8" s="0" t="s">
        <v>53</v>
      </c>
      <c r="B8" s="0" t="n">
        <f aca="false">Inputs!B4*B2*(Inputs!B10 - Inputs!B9)</f>
        <v>-26.93722485</v>
      </c>
      <c r="C8" s="0" t="s">
        <v>51</v>
      </c>
      <c r="D8" s="0" t="s">
        <v>54</v>
      </c>
    </row>
    <row r="9" customFormat="false" ht="15" hidden="false" customHeight="false" outlineLevel="0" collapsed="false">
      <c r="A9" s="0" t="s">
        <v>55</v>
      </c>
      <c r="B9" s="0" t="n">
        <f aca="false">Inputs!B4*B2*(Inputs!B8 - Inputs!B10)</f>
        <v>-35.9162998</v>
      </c>
      <c r="C9" s="0" t="s">
        <v>51</v>
      </c>
      <c r="D9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2025-03-01T13:12:54Z</dcterms:created>
  <dc:creator>openpyxl</dc:creator>
  <dc:description/>
  <dc:language>en-US</dc:language>
  <cp:lastModifiedBy/>
  <dcterms:modified xsi:type="dcterms:W3CDTF">2025-03-01T08:19:20Z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